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nawardena1/Documents/Ryugu Analysis/ryugu-pca-publication/"/>
    </mc:Choice>
  </mc:AlternateContent>
  <xr:revisionPtr revIDLastSave="0" documentId="13_ncr:1_{18E8ADB4-4D86-1144-82FC-A20F9C9E11E2}" xr6:coauthVersionLast="47" xr6:coauthVersionMax="47" xr10:uidLastSave="{00000000-0000-0000-0000-000000000000}"/>
  <bookViews>
    <workbookView xWindow="0" yWindow="500" windowWidth="29040" windowHeight="15840" xr2:uid="{7FEA513D-8736-4D71-B9C4-34D4303C4587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7" i="2" l="1"/>
  <c r="AH17" i="2" s="1"/>
  <c r="AH14" i="2"/>
  <c r="AH13" i="2"/>
  <c r="AH12" i="2"/>
  <c r="AH11" i="2"/>
  <c r="AH10" i="2"/>
  <c r="AH9" i="2"/>
  <c r="AE8" i="2"/>
  <c r="AH8" i="2" s="1"/>
  <c r="AE5" i="2"/>
  <c r="AH5" i="2" s="1"/>
  <c r="AE4" i="2"/>
  <c r="AH4" i="2" s="1"/>
  <c r="Z27" i="2" l="1"/>
  <c r="Z22" i="2"/>
  <c r="Z21" i="2"/>
  <c r="Z20" i="2"/>
  <c r="Z11" i="2"/>
  <c r="Z10" i="2"/>
  <c r="Z9" i="2"/>
  <c r="X8" i="2"/>
  <c r="Z8" i="2" s="1"/>
  <c r="W8" i="2"/>
  <c r="D13" i="2"/>
  <c r="D27" i="2" l="1"/>
  <c r="D26" i="2"/>
  <c r="D25" i="2"/>
  <c r="D28" i="2"/>
  <c r="D24" i="2"/>
  <c r="D23" i="2"/>
  <c r="D22" i="2"/>
  <c r="F21" i="2" l="1"/>
  <c r="F20" i="2"/>
  <c r="F9" i="2"/>
  <c r="F10" i="2"/>
  <c r="F11" i="2"/>
  <c r="F12" i="2"/>
  <c r="F14" i="2"/>
  <c r="F15" i="2"/>
  <c r="F16" i="2"/>
  <c r="F8" i="2"/>
  <c r="AL28" i="2" l="1"/>
  <c r="AL24" i="2"/>
  <c r="AL22" i="2"/>
  <c r="AL21" i="2"/>
  <c r="AL20" i="2"/>
  <c r="AI8" i="2" l="1"/>
  <c r="AD12" i="2"/>
  <c r="AD11" i="2"/>
  <c r="AD10" i="2"/>
  <c r="AD9" i="2"/>
  <c r="AD27" i="2"/>
  <c r="AD25" i="2"/>
  <c r="AD24" i="2"/>
  <c r="AD22" i="2"/>
  <c r="AD21" i="2"/>
  <c r="AD20" i="2"/>
  <c r="V28" i="2"/>
  <c r="V27" i="2"/>
  <c r="V24" i="2"/>
  <c r="V22" i="2"/>
  <c r="V21" i="2"/>
  <c r="V20" i="2"/>
  <c r="V14" i="2"/>
  <c r="V9" i="2"/>
  <c r="V10" i="2"/>
  <c r="V11" i="2"/>
  <c r="V12" i="2"/>
  <c r="AB8" i="2" l="1"/>
  <c r="AD8" i="2" s="1"/>
  <c r="T8" i="2"/>
  <c r="V8" i="2" s="1"/>
  <c r="P8" i="2"/>
  <c r="R8" i="2" s="1"/>
  <c r="L8" i="2"/>
  <c r="N8" i="2" s="1"/>
  <c r="AA8" i="2" l="1"/>
  <c r="S8" i="2"/>
  <c r="O8" i="2"/>
  <c r="K8" i="2" l="1"/>
  <c r="G8" i="2" l="1"/>
</calcChain>
</file>

<file path=xl/sharedStrings.xml><?xml version="1.0" encoding="utf-8"?>
<sst xmlns="http://schemas.openxmlformats.org/spreadsheetml/2006/main" count="103" uniqueCount="63">
  <si>
    <t>Table</t>
  </si>
  <si>
    <t>S1.</t>
  </si>
  <si>
    <t>Reservoir</t>
  </si>
  <si>
    <t>ε48Ca</t>
  </si>
  <si>
    <t>95% CI</t>
  </si>
  <si>
    <t>ε50Ti</t>
  </si>
  <si>
    <t>ε54Cr</t>
  </si>
  <si>
    <t>ε54Fe</t>
  </si>
  <si>
    <t>ε62Ni</t>
  </si>
  <si>
    <t>ε66Zn</t>
  </si>
  <si>
    <t>CC</t>
  </si>
  <si>
    <t>Ryugu (LLNL)</t>
  </si>
  <si>
    <t>Ryugu (Literature)</t>
  </si>
  <si>
    <t>CI</t>
  </si>
  <si>
    <t>CM</t>
  </si>
  <si>
    <t>CO</t>
  </si>
  <si>
    <t>CV</t>
  </si>
  <si>
    <t>CK</t>
  </si>
  <si>
    <t>CR</t>
  </si>
  <si>
    <t>CH</t>
  </si>
  <si>
    <t>CB</t>
  </si>
  <si>
    <t>Tagish Lake (ung.)</t>
  </si>
  <si>
    <t>Earth's mantle</t>
  </si>
  <si>
    <t>Mars' mantle</t>
  </si>
  <si>
    <t>NC</t>
  </si>
  <si>
    <t>Rumuruti Chondrites</t>
  </si>
  <si>
    <t>Angrites</t>
  </si>
  <si>
    <t>Aubrites</t>
  </si>
  <si>
    <t>HED</t>
  </si>
  <si>
    <t>Ureilites</t>
  </si>
  <si>
    <t>Ordinary Chondrite Mean</t>
  </si>
  <si>
    <t>Enstatite Chondrites Mean</t>
  </si>
  <si>
    <t>Ryugu (combined)</t>
  </si>
  <si>
    <t>To be used for the plots below:</t>
  </si>
  <si>
    <t>?</t>
  </si>
  <si>
    <t>2SD</t>
  </si>
  <si>
    <t>N</t>
  </si>
  <si>
    <t>Rufenacht et al (2023)</t>
  </si>
  <si>
    <t>Onyett et al (2023)</t>
  </si>
  <si>
    <t>Hopp et al (2022)</t>
  </si>
  <si>
    <t>Schiller et al. (2020)</t>
  </si>
  <si>
    <t>Yokoyama et al. (2023)</t>
  </si>
  <si>
    <t>Steele et al. (2012)</t>
  </si>
  <si>
    <t>Tang et al. (2012)</t>
  </si>
  <si>
    <t>I took the larger of the two uncertainties, except for Ca, where I took the literature uncertainty</t>
  </si>
  <si>
    <t>References</t>
  </si>
  <si>
    <t>Spitzer et al. (2024)</t>
  </si>
  <si>
    <t>95% c.i. = [(TINV(0.05,N-1) * SD]/(SQRT(N)]</t>
  </si>
  <si>
    <t>Notes</t>
  </si>
  <si>
    <t>Calculated using:</t>
  </si>
  <si>
    <t>Stellar et al. (2022)</t>
  </si>
  <si>
    <t>Savage et al. (2022)</t>
  </si>
  <si>
    <t>68/64 Norm</t>
  </si>
  <si>
    <t>Kleine et al (2023)</t>
  </si>
  <si>
    <t>Δ17O</t>
  </si>
  <si>
    <t>Greenwood et al. (2022)</t>
  </si>
  <si>
    <t>In this color the 2SD was given and I calculated the 95% CI from that</t>
  </si>
  <si>
    <t>Greenwood et al. (2017)</t>
  </si>
  <si>
    <t>Instead of calculating a 2SD when there was &lt;4 measurements (N=1 or 2), I used the given 95%CI</t>
  </si>
  <si>
    <t>ε60Ni</t>
  </si>
  <si>
    <t>Ti/Rb</t>
  </si>
  <si>
    <t>Brown et al. (2000) TL</t>
  </si>
  <si>
    <t>Friedrich et al. (2002) 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</si>
</sst>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 tint="-0.249977111117893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b/>
      <sz val="11"/>
      <color theme="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0" fontId="1" fillId="0" borderId="1" xfId="0" applyFont="1" applyBorder="1" applyAlignment="1">
      <alignment horizontal="center"/>
    </xf>
    <xf numFmtId="9" fontId="1" fillId="0" borderId="2" xfId="0" applyNumberFormat="1" applyFont="1" applyBorder="1" applyAlignment="1">
      <alignment horizontal="center"/>
    </xf>
    <xf numFmtId="9" fontId="1" fillId="0" borderId="3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3" fillId="0" borderId="0" xfId="0" applyFont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9" fontId="4" fillId="0" borderId="2" xfId="0" applyNumberFormat="1" applyFont="1" applyBorder="1" applyAlignment="1">
      <alignment horizontal="center"/>
    </xf>
    <xf numFmtId="9" fontId="4" fillId="0" borderId="3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5" fillId="5" borderId="0" xfId="0" applyFont="1" applyFill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2" fontId="0" fillId="6" borderId="5" xfId="0" applyNumberFormat="1" applyFill="1" applyBorder="1" applyAlignment="1">
      <alignment horizontal="center"/>
    </xf>
    <xf numFmtId="2" fontId="0" fillId="6" borderId="8" xfId="0" applyNumberFormat="1" applyFill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5" borderId="0" xfId="0" applyNumberFormat="1" applyFill="1" applyAlignment="1">
      <alignment horizontal="center"/>
    </xf>
    <xf numFmtId="2" fontId="0" fillId="0" borderId="7" xfId="0" applyNumberFormat="1" applyBorder="1" applyAlignment="1">
      <alignment horizontal="center"/>
    </xf>
    <xf numFmtId="2" fontId="5" fillId="7" borderId="5" xfId="0" applyNumberFormat="1" applyFont="1" applyFill="1" applyBorder="1" applyAlignment="1">
      <alignment horizontal="center"/>
    </xf>
    <xf numFmtId="2" fontId="5" fillId="7" borderId="8" xfId="0" applyNumberFormat="1" applyFont="1" applyFill="1" applyBorder="1" applyAlignment="1">
      <alignment horizontal="center"/>
    </xf>
    <xf numFmtId="2" fontId="5" fillId="0" borderId="5" xfId="0" applyNumberFormat="1" applyFont="1" applyBorder="1" applyAlignment="1">
      <alignment horizontal="center"/>
    </xf>
    <xf numFmtId="2" fontId="1" fillId="6" borderId="5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7" borderId="0" xfId="0" applyFill="1" applyAlignment="1">
      <alignment horizontal="center"/>
    </xf>
    <xf numFmtId="2" fontId="0" fillId="7" borderId="7" xfId="0" applyNumberFormat="1" applyFill="1" applyBorder="1" applyAlignment="1">
      <alignment horizontal="center"/>
    </xf>
    <xf numFmtId="2" fontId="0" fillId="7" borderId="0" xfId="0" applyNumberFormat="1" applyFill="1" applyAlignment="1">
      <alignment horizontal="center"/>
    </xf>
    <xf numFmtId="2" fontId="3" fillId="0" borderId="4" xfId="0" applyNumberFormat="1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837F9-02C8-45C7-9500-CB6841778E7A}">
  <dimension ref="A1:AN51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36" sqref="J36"/>
    </sheetView>
  </sheetViews>
  <sheetFormatPr baseColWidth="10" defaultColWidth="9.1640625" defaultRowHeight="15" x14ac:dyDescent="0.2"/>
  <cols>
    <col min="1" max="1" width="28.5" style="1" customWidth="1"/>
    <col min="2" max="2" width="9.6640625" style="1" bestFit="1" customWidth="1"/>
    <col min="3" max="3" width="6.6640625" style="1" bestFit="1" customWidth="1"/>
    <col min="4" max="4" width="7" style="1" bestFit="1" customWidth="1"/>
    <col min="5" max="5" width="4.33203125" style="1" customWidth="1"/>
    <col min="6" max="6" width="4.5" style="1" bestFit="1" customWidth="1"/>
    <col min="7" max="7" width="7.33203125" style="1" bestFit="1" customWidth="1"/>
    <col min="8" max="8" width="7.1640625" style="1" bestFit="1" customWidth="1"/>
    <col min="9" max="9" width="3" style="1" bestFit="1" customWidth="1"/>
    <col min="10" max="10" width="6.5" style="1" bestFit="1" customWidth="1"/>
    <col min="11" max="11" width="5.6640625" style="1" bestFit="1" customWidth="1"/>
    <col min="12" max="12" width="7" style="1" bestFit="1" customWidth="1"/>
    <col min="13" max="13" width="3" style="1" bestFit="1" customWidth="1"/>
    <col min="14" max="14" width="5" style="1" bestFit="1" customWidth="1"/>
    <col min="15" max="15" width="6.1640625" style="1" bestFit="1" customWidth="1"/>
    <col min="16" max="16" width="7" style="1" bestFit="1" customWidth="1"/>
    <col min="17" max="17" width="3" style="1" bestFit="1" customWidth="1"/>
    <col min="18" max="18" width="5.5" style="1" bestFit="1" customWidth="1"/>
    <col min="19" max="19" width="6.1640625" style="1" bestFit="1" customWidth="1"/>
    <col min="20" max="20" width="7" style="1" bestFit="1" customWidth="1"/>
    <col min="21" max="21" width="3" style="1" bestFit="1" customWidth="1"/>
    <col min="22" max="22" width="4.5" style="1" bestFit="1" customWidth="1"/>
    <col min="23" max="23" width="6" style="1" bestFit="1" customWidth="1"/>
    <col min="24" max="24" width="7" style="1" bestFit="1" customWidth="1"/>
    <col min="25" max="25" width="3.1640625" style="1" bestFit="1" customWidth="1"/>
    <col min="26" max="26" width="4.5" style="1" customWidth="1"/>
    <col min="27" max="27" width="6" style="1" bestFit="1" customWidth="1"/>
    <col min="28" max="28" width="7" style="1" bestFit="1" customWidth="1"/>
    <col min="29" max="29" width="3" style="1" bestFit="1" customWidth="1"/>
    <col min="30" max="30" width="7" style="1" bestFit="1" customWidth="1"/>
    <col min="31" max="31" width="7.6640625" style="1" bestFit="1" customWidth="1"/>
    <col min="32" max="32" width="7" style="1" customWidth="1"/>
    <col min="33" max="33" width="2.5" style="1" bestFit="1" customWidth="1"/>
    <col min="34" max="34" width="4.5" style="1" bestFit="1" customWidth="1"/>
    <col min="35" max="35" width="6.33203125" style="1" bestFit="1" customWidth="1"/>
    <col min="36" max="36" width="7" style="1" bestFit="1" customWidth="1"/>
    <col min="37" max="37" width="3" style="1" bestFit="1" customWidth="1"/>
    <col min="38" max="38" width="4.5" style="1" bestFit="1" customWidth="1"/>
    <col min="39" max="39" width="9.1640625" style="1"/>
    <col min="40" max="40" width="94.1640625" style="1" bestFit="1" customWidth="1"/>
    <col min="41" max="16384" width="9.1640625" style="1"/>
  </cols>
  <sheetData>
    <row r="1" spans="1:40" x14ac:dyDescent="0.2">
      <c r="A1" s="1" t="s">
        <v>0</v>
      </c>
      <c r="B1" s="1" t="s">
        <v>1</v>
      </c>
      <c r="W1" s="48"/>
      <c r="X1" s="48"/>
      <c r="Y1" s="48"/>
      <c r="Z1" s="48"/>
      <c r="AI1" s="47" t="s">
        <v>52</v>
      </c>
      <c r="AJ1" s="47"/>
      <c r="AK1" s="47"/>
      <c r="AL1" s="47"/>
    </row>
    <row r="2" spans="1:40" x14ac:dyDescent="0.2">
      <c r="B2" s="2" t="s">
        <v>2</v>
      </c>
      <c r="C2" s="40" t="s">
        <v>54</v>
      </c>
      <c r="D2" s="10" t="s">
        <v>4</v>
      </c>
      <c r="E2" s="10" t="s">
        <v>36</v>
      </c>
      <c r="F2" s="11" t="s">
        <v>35</v>
      </c>
      <c r="G2" s="9" t="s">
        <v>3</v>
      </c>
      <c r="H2" s="10" t="s">
        <v>4</v>
      </c>
      <c r="I2" s="10" t="s">
        <v>36</v>
      </c>
      <c r="J2" s="11" t="s">
        <v>35</v>
      </c>
      <c r="K2" s="9" t="s">
        <v>5</v>
      </c>
      <c r="L2" s="10" t="s">
        <v>4</v>
      </c>
      <c r="M2" s="10" t="s">
        <v>36</v>
      </c>
      <c r="N2" s="11" t="s">
        <v>35</v>
      </c>
      <c r="O2" s="9" t="s">
        <v>6</v>
      </c>
      <c r="P2" s="10" t="s">
        <v>4</v>
      </c>
      <c r="Q2" s="10" t="s">
        <v>36</v>
      </c>
      <c r="R2" s="11" t="s">
        <v>35</v>
      </c>
      <c r="S2" s="9" t="s">
        <v>7</v>
      </c>
      <c r="T2" s="10" t="s">
        <v>4</v>
      </c>
      <c r="U2" s="10" t="s">
        <v>36</v>
      </c>
      <c r="V2" s="11" t="s">
        <v>35</v>
      </c>
      <c r="W2" s="9" t="s">
        <v>59</v>
      </c>
      <c r="X2" s="10" t="s">
        <v>4</v>
      </c>
      <c r="Y2" s="10" t="s">
        <v>36</v>
      </c>
      <c r="Z2" s="11" t="s">
        <v>35</v>
      </c>
      <c r="AA2" s="9" t="s">
        <v>8</v>
      </c>
      <c r="AB2" s="10" t="s">
        <v>4</v>
      </c>
      <c r="AC2" s="10" t="s">
        <v>36</v>
      </c>
      <c r="AD2" s="11" t="s">
        <v>35</v>
      </c>
      <c r="AE2" s="10" t="s">
        <v>60</v>
      </c>
      <c r="AF2" s="10" t="s">
        <v>4</v>
      </c>
      <c r="AG2" s="10" t="s">
        <v>36</v>
      </c>
      <c r="AH2" s="11" t="s">
        <v>35</v>
      </c>
      <c r="AI2" s="21" t="s">
        <v>9</v>
      </c>
      <c r="AJ2" s="22" t="s">
        <v>4</v>
      </c>
      <c r="AK2" s="22" t="s">
        <v>36</v>
      </c>
      <c r="AL2" s="23" t="s">
        <v>35</v>
      </c>
      <c r="AN2" s="2" t="s">
        <v>48</v>
      </c>
    </row>
    <row r="3" spans="1:40" x14ac:dyDescent="0.2">
      <c r="C3" s="12"/>
      <c r="F3" s="13"/>
      <c r="G3" s="12"/>
      <c r="J3" s="13"/>
      <c r="K3" s="12"/>
      <c r="N3" s="13"/>
      <c r="O3" s="12"/>
      <c r="R3" s="13"/>
      <c r="S3" s="12"/>
      <c r="V3" s="13"/>
      <c r="AA3" s="12"/>
      <c r="AD3" s="13"/>
      <c r="AI3" s="24"/>
      <c r="AJ3" s="25"/>
      <c r="AK3" s="25"/>
      <c r="AL3" s="26"/>
    </row>
    <row r="4" spans="1:40" x14ac:dyDescent="0.2">
      <c r="A4" s="1" t="s">
        <v>11</v>
      </c>
      <c r="C4" s="12"/>
      <c r="F4" s="13"/>
      <c r="G4" s="12">
        <v>1.85</v>
      </c>
      <c r="H4" s="1">
        <v>1.41</v>
      </c>
      <c r="I4" s="1">
        <v>1</v>
      </c>
      <c r="J4" s="13"/>
      <c r="K4" s="12">
        <v>1.83</v>
      </c>
      <c r="L4" s="1">
        <v>0.18</v>
      </c>
      <c r="M4" s="1">
        <v>1</v>
      </c>
      <c r="N4" s="13"/>
      <c r="O4" s="12">
        <v>1.323</v>
      </c>
      <c r="P4" s="1">
        <v>0.13400000000000001</v>
      </c>
      <c r="Q4" s="1">
        <v>1</v>
      </c>
      <c r="R4" s="13"/>
      <c r="S4" s="17">
        <v>5.0999999999999997E-2</v>
      </c>
      <c r="T4" s="7">
        <v>4.5999999999999999E-2</v>
      </c>
      <c r="U4" s="1">
        <v>1</v>
      </c>
      <c r="V4" s="13"/>
      <c r="W4" s="1">
        <v>-0.02</v>
      </c>
      <c r="X4" s="1">
        <v>0.03</v>
      </c>
      <c r="Y4" s="1">
        <v>1</v>
      </c>
      <c r="AA4" s="12">
        <v>0.16</v>
      </c>
      <c r="AB4" s="1">
        <v>0.06</v>
      </c>
      <c r="AC4" s="1">
        <v>1</v>
      </c>
      <c r="AD4" s="13"/>
      <c r="AE4" s="49">
        <f>527/2.46</f>
        <v>214.22764227642276</v>
      </c>
      <c r="AH4" s="1">
        <f t="shared" ref="AH4:AH5" si="0">0.1*AE4</f>
        <v>21.422764227642276</v>
      </c>
      <c r="AI4" s="24">
        <v>0.3</v>
      </c>
      <c r="AJ4" s="25">
        <v>7.0000000000000007E-2</v>
      </c>
      <c r="AK4" s="25"/>
      <c r="AL4" s="26"/>
    </row>
    <row r="5" spans="1:40" x14ac:dyDescent="0.2">
      <c r="A5" s="1" t="s">
        <v>12</v>
      </c>
      <c r="C5" s="12">
        <v>0.66</v>
      </c>
      <c r="D5" s="1">
        <v>0.09</v>
      </c>
      <c r="F5" s="13"/>
      <c r="G5" s="12">
        <v>2.09</v>
      </c>
      <c r="H5" s="1">
        <v>0.3</v>
      </c>
      <c r="I5" s="1">
        <v>2</v>
      </c>
      <c r="J5" s="13"/>
      <c r="K5" s="12">
        <v>1.77</v>
      </c>
      <c r="L5" s="1">
        <v>7.0000000000000007E-2</v>
      </c>
      <c r="M5" s="1">
        <v>4</v>
      </c>
      <c r="N5" s="13"/>
      <c r="O5" s="12">
        <v>1.52</v>
      </c>
      <c r="P5" s="1">
        <v>0.04</v>
      </c>
      <c r="Q5" s="1">
        <v>7</v>
      </c>
      <c r="R5" s="13"/>
      <c r="S5" s="17">
        <v>0.01</v>
      </c>
      <c r="T5" s="7">
        <v>0.04</v>
      </c>
      <c r="U5" s="1">
        <v>4</v>
      </c>
      <c r="V5" s="13"/>
      <c r="W5" s="1">
        <v>-0.05</v>
      </c>
      <c r="X5" s="1">
        <v>0.04</v>
      </c>
      <c r="Y5" s="1">
        <v>4</v>
      </c>
      <c r="AA5" s="12">
        <v>0.22</v>
      </c>
      <c r="AB5" s="1">
        <v>0.08</v>
      </c>
      <c r="AC5" s="1">
        <v>4</v>
      </c>
      <c r="AD5" s="13"/>
      <c r="AE5" s="49">
        <f>472.6/2.44</f>
        <v>193.68852459016395</v>
      </c>
      <c r="AH5" s="1">
        <f t="shared" si="0"/>
        <v>19.368852459016395</v>
      </c>
      <c r="AI5" s="24"/>
      <c r="AJ5" s="25"/>
      <c r="AK5" s="25"/>
      <c r="AL5" s="26"/>
    </row>
    <row r="6" spans="1:40" x14ac:dyDescent="0.2">
      <c r="C6" s="12"/>
      <c r="F6" s="13"/>
      <c r="G6" s="12"/>
      <c r="J6" s="13"/>
      <c r="K6" s="12"/>
      <c r="N6" s="13"/>
      <c r="O6" s="12"/>
      <c r="R6" s="13"/>
      <c r="S6" s="17"/>
      <c r="T6" s="7"/>
      <c r="V6" s="13"/>
      <c r="AA6" s="12"/>
      <c r="AD6" s="13"/>
      <c r="AE6" s="49"/>
      <c r="AI6" s="24"/>
      <c r="AJ6" s="25"/>
      <c r="AK6" s="25"/>
      <c r="AL6" s="26"/>
    </row>
    <row r="7" spans="1:40" x14ac:dyDescent="0.2">
      <c r="A7" s="1" t="s">
        <v>33</v>
      </c>
      <c r="C7" s="12"/>
      <c r="F7" s="13"/>
      <c r="G7" s="12"/>
      <c r="J7" s="13"/>
      <c r="K7" s="12"/>
      <c r="N7" s="13"/>
      <c r="O7" s="12"/>
      <c r="R7" s="13"/>
      <c r="S7" s="17"/>
      <c r="T7" s="7"/>
      <c r="V7" s="13"/>
      <c r="AA7" s="12"/>
      <c r="AD7" s="13"/>
      <c r="AE7" s="49"/>
      <c r="AI7" s="24"/>
      <c r="AJ7" s="25"/>
      <c r="AK7" s="25"/>
      <c r="AL7" s="26"/>
    </row>
    <row r="8" spans="1:40" x14ac:dyDescent="0.2">
      <c r="A8" s="1" t="s">
        <v>32</v>
      </c>
      <c r="B8" s="3" t="s">
        <v>34</v>
      </c>
      <c r="C8" s="12">
        <v>0.66</v>
      </c>
      <c r="D8" s="1">
        <v>0.09</v>
      </c>
      <c r="E8" s="1">
        <v>7</v>
      </c>
      <c r="F8" s="31">
        <f>((D8*SQRT(E8))/TINV(0.05,(E8-1)))*2</f>
        <v>0.19462705032418076</v>
      </c>
      <c r="G8" s="17">
        <f>AVERAGE(G4:G5)</f>
        <v>1.97</v>
      </c>
      <c r="H8" s="34">
        <v>0.3</v>
      </c>
      <c r="I8" s="1">
        <v>3</v>
      </c>
      <c r="J8" s="19">
        <v>0.3</v>
      </c>
      <c r="K8" s="17">
        <f>AVERAGE(K4:K5)</f>
        <v>1.8</v>
      </c>
      <c r="L8" s="34">
        <f>L4</f>
        <v>0.18</v>
      </c>
      <c r="M8" s="1">
        <v>5</v>
      </c>
      <c r="N8" s="31">
        <f>((L8*SQRT(M8))/TINV(0.05,(M8-1)))*2</f>
        <v>0.28993350900146009</v>
      </c>
      <c r="O8" s="17">
        <f>AVERAGE(O4:O5)</f>
        <v>1.4215</v>
      </c>
      <c r="P8" s="8">
        <f>P4</f>
        <v>0.13400000000000001</v>
      </c>
      <c r="Q8" s="1">
        <v>8</v>
      </c>
      <c r="R8" s="31">
        <f>((P8*SQRT(Q8))/TINV(0.05,(Q8-1)))*2</f>
        <v>0.32056614023195701</v>
      </c>
      <c r="S8" s="17">
        <f>AVERAGE(S4:S5)</f>
        <v>3.0499999999999999E-2</v>
      </c>
      <c r="T8" s="34">
        <f>T4</f>
        <v>4.5999999999999999E-2</v>
      </c>
      <c r="U8" s="1">
        <v>5</v>
      </c>
      <c r="V8" s="31">
        <f>((T8*SQRT(U8))/TINV(0.05,(U8-1)))*2</f>
        <v>7.409411896703981E-2</v>
      </c>
      <c r="W8" s="17">
        <f>AVERAGE(W4:W5)</f>
        <v>-3.5000000000000003E-2</v>
      </c>
      <c r="X8" s="34">
        <f>X5</f>
        <v>0.04</v>
      </c>
      <c r="Y8" s="1">
        <v>5</v>
      </c>
      <c r="Z8" s="31">
        <f>((X8*SQRT(Y8))/TINV(0.05,(Y8-1)))*2</f>
        <v>6.4429668666991138E-2</v>
      </c>
      <c r="AA8" s="12">
        <f>AVERAGE(AA4:AA5)</f>
        <v>0.19</v>
      </c>
      <c r="AB8" s="8">
        <f>AB5</f>
        <v>0.08</v>
      </c>
      <c r="AC8" s="1">
        <v>5</v>
      </c>
      <c r="AD8" s="31">
        <f t="shared" ref="AD8:AD12" si="1">((AB8*SQRT(AC8))/TINV(0.05,(AC8-1)))*2</f>
        <v>0.12885933733398228</v>
      </c>
      <c r="AE8" s="49">
        <f>AVERAGE(AE4:AE5)</f>
        <v>203.95808343329335</v>
      </c>
      <c r="AH8" s="1">
        <f>0.1*AE8</f>
        <v>20.395808343329335</v>
      </c>
      <c r="AI8" s="24">
        <f>AVERAGE(AI4:AI5)</f>
        <v>0.3</v>
      </c>
      <c r="AJ8" s="27">
        <v>7.0000000000000007E-2</v>
      </c>
      <c r="AK8" s="25">
        <v>1</v>
      </c>
      <c r="AL8" s="38">
        <v>7.0000000000000007E-2</v>
      </c>
      <c r="AN8" s="8" t="s">
        <v>44</v>
      </c>
    </row>
    <row r="9" spans="1:40" x14ac:dyDescent="0.2">
      <c r="A9" s="1" t="s">
        <v>13</v>
      </c>
      <c r="B9" s="4" t="s">
        <v>10</v>
      </c>
      <c r="C9" s="12">
        <v>0.53</v>
      </c>
      <c r="D9" s="1">
        <v>0.21</v>
      </c>
      <c r="E9" s="1">
        <v>9</v>
      </c>
      <c r="F9" s="31">
        <f t="shared" ref="F9:F16" si="2">((D9*SQRT(E9))/TINV(0.05,(E9-1)))*2</f>
        <v>0.54639971401805099</v>
      </c>
      <c r="G9" s="17">
        <v>2.14</v>
      </c>
      <c r="H9" s="7">
        <v>0.16</v>
      </c>
      <c r="I9" s="1">
        <v>5</v>
      </c>
      <c r="J9" s="19">
        <v>0.23</v>
      </c>
      <c r="K9" s="17">
        <v>1.87</v>
      </c>
      <c r="L9" s="7">
        <v>7.0000000000000007E-2</v>
      </c>
      <c r="M9" s="1">
        <v>10</v>
      </c>
      <c r="N9" s="13">
        <v>0.19</v>
      </c>
      <c r="O9" s="17">
        <v>1.59</v>
      </c>
      <c r="P9" s="1">
        <v>0.09</v>
      </c>
      <c r="Q9" s="1">
        <v>14</v>
      </c>
      <c r="R9" s="19">
        <v>0.3</v>
      </c>
      <c r="S9" s="17">
        <v>0</v>
      </c>
      <c r="T9" s="7">
        <v>0.03</v>
      </c>
      <c r="U9" s="1">
        <v>15</v>
      </c>
      <c r="V9" s="31">
        <f t="shared" ref="V9:V14" si="3">((T9*SQRT(U9))/TINV(0.05,(U9-1)))*2</f>
        <v>0.10834597308977263</v>
      </c>
      <c r="W9" s="17">
        <v>-1.7999999999999999E-2</v>
      </c>
      <c r="X9" s="7">
        <v>0.03</v>
      </c>
      <c r="Y9" s="1">
        <v>5</v>
      </c>
      <c r="Z9" s="31">
        <f t="shared" ref="Z9:Z11" si="4">((X9*SQRT(Y9))/TINV(0.05,(Y9-1)))*2</f>
        <v>4.8322251500243357E-2</v>
      </c>
      <c r="AA9" s="12">
        <v>0.22</v>
      </c>
      <c r="AB9" s="1">
        <v>0.03</v>
      </c>
      <c r="AC9" s="1">
        <v>5</v>
      </c>
      <c r="AD9" s="31">
        <f t="shared" si="1"/>
        <v>4.8322251500243357E-2</v>
      </c>
      <c r="AE9" s="49">
        <v>202.70270270270268</v>
      </c>
      <c r="AH9" s="1">
        <f t="shared" ref="AH9:AH14" si="5">0.1*AE9</f>
        <v>20.27027027027027</v>
      </c>
      <c r="AI9" s="24">
        <v>0.26800000000000002</v>
      </c>
      <c r="AJ9" s="25">
        <v>0.05</v>
      </c>
      <c r="AK9" s="25">
        <v>2</v>
      </c>
      <c r="AL9" s="36">
        <v>0.05</v>
      </c>
    </row>
    <row r="10" spans="1:40" x14ac:dyDescent="0.2">
      <c r="A10" s="1" t="s">
        <v>14</v>
      </c>
      <c r="B10" s="4" t="s">
        <v>10</v>
      </c>
      <c r="C10" s="12">
        <v>-4.58</v>
      </c>
      <c r="D10" s="1">
        <v>0.84</v>
      </c>
      <c r="E10" s="1">
        <v>5</v>
      </c>
      <c r="F10" s="31">
        <f t="shared" si="2"/>
        <v>1.3530230420068139</v>
      </c>
      <c r="G10" s="17">
        <v>2.68</v>
      </c>
      <c r="H10" s="7">
        <v>1.22</v>
      </c>
      <c r="I10" s="1">
        <v>4</v>
      </c>
      <c r="J10" s="19">
        <v>1.33</v>
      </c>
      <c r="K10" s="17">
        <v>3.01</v>
      </c>
      <c r="L10" s="7">
        <v>0.12</v>
      </c>
      <c r="M10" s="1">
        <v>22</v>
      </c>
      <c r="N10" s="7">
        <v>0.5</v>
      </c>
      <c r="O10" s="17">
        <v>0.96</v>
      </c>
      <c r="P10" s="1">
        <v>0.06</v>
      </c>
      <c r="Q10" s="1">
        <v>18</v>
      </c>
      <c r="R10" s="13">
        <v>0.23</v>
      </c>
      <c r="S10" s="17">
        <v>0.23</v>
      </c>
      <c r="T10" s="7">
        <v>0.06</v>
      </c>
      <c r="U10" s="1">
        <v>6</v>
      </c>
      <c r="V10" s="31">
        <f t="shared" si="3"/>
        <v>0.11434717426968066</v>
      </c>
      <c r="W10" s="17">
        <v>-7.4999999999999997E-2</v>
      </c>
      <c r="X10" s="7">
        <v>0.03</v>
      </c>
      <c r="Y10" s="1">
        <v>4</v>
      </c>
      <c r="Z10" s="31">
        <f t="shared" si="4"/>
        <v>3.7706841997858065E-2</v>
      </c>
      <c r="AA10" s="12">
        <v>0.12</v>
      </c>
      <c r="AB10" s="1">
        <v>0.03</v>
      </c>
      <c r="AC10" s="1">
        <v>4</v>
      </c>
      <c r="AD10" s="31">
        <f t="shared" si="1"/>
        <v>3.7706841997858065E-2</v>
      </c>
      <c r="AE10" s="49">
        <v>381.25</v>
      </c>
      <c r="AH10" s="1">
        <f t="shared" si="5"/>
        <v>38.125</v>
      </c>
      <c r="AI10" s="24">
        <v>0.33200000000000002</v>
      </c>
      <c r="AJ10" s="25">
        <v>7.0000000000000007E-2</v>
      </c>
      <c r="AK10" s="25">
        <v>2</v>
      </c>
      <c r="AL10" s="36">
        <v>7.0000000000000007E-2</v>
      </c>
      <c r="AN10" s="39" t="s">
        <v>49</v>
      </c>
    </row>
    <row r="11" spans="1:40" x14ac:dyDescent="0.2">
      <c r="A11" s="1" t="s">
        <v>15</v>
      </c>
      <c r="B11" s="4" t="s">
        <v>10</v>
      </c>
      <c r="C11" s="12">
        <v>-4.8499999999999996</v>
      </c>
      <c r="D11" s="1">
        <v>0.45</v>
      </c>
      <c r="E11" s="1">
        <v>6</v>
      </c>
      <c r="F11" s="31">
        <f t="shared" si="2"/>
        <v>0.85760380702260508</v>
      </c>
      <c r="G11" s="17">
        <v>3.87</v>
      </c>
      <c r="H11" s="7">
        <v>0.56000000000000005</v>
      </c>
      <c r="I11" s="1">
        <v>1</v>
      </c>
      <c r="J11" s="19">
        <v>0.56000000000000005</v>
      </c>
      <c r="K11" s="17">
        <v>3.53</v>
      </c>
      <c r="L11" s="7">
        <v>0.22</v>
      </c>
      <c r="M11" s="1">
        <v>8</v>
      </c>
      <c r="N11" s="13">
        <v>0.97</v>
      </c>
      <c r="O11" s="17">
        <v>0.83</v>
      </c>
      <c r="P11" s="1">
        <v>0.18</v>
      </c>
      <c r="Q11" s="1">
        <v>8</v>
      </c>
      <c r="R11" s="13">
        <v>0.41</v>
      </c>
      <c r="S11" s="17">
        <v>0.16500000000000001</v>
      </c>
      <c r="T11" s="7">
        <v>0.05</v>
      </c>
      <c r="U11" s="1">
        <v>4</v>
      </c>
      <c r="V11" s="31">
        <f t="shared" si="3"/>
        <v>6.2844736663096784E-2</v>
      </c>
      <c r="W11" s="17">
        <v>-7.4999999999999997E-2</v>
      </c>
      <c r="X11" s="7">
        <v>0.03</v>
      </c>
      <c r="Y11" s="1">
        <v>4</v>
      </c>
      <c r="Z11" s="31">
        <f t="shared" si="4"/>
        <v>3.7706841997858065E-2</v>
      </c>
      <c r="AA11" s="12">
        <v>0.09</v>
      </c>
      <c r="AB11" s="1">
        <v>0.03</v>
      </c>
      <c r="AC11" s="1">
        <v>4</v>
      </c>
      <c r="AD11" s="31">
        <f t="shared" si="1"/>
        <v>3.7706841997858065E-2</v>
      </c>
      <c r="AE11" s="49">
        <v>572.51908396946567</v>
      </c>
      <c r="AH11" s="1">
        <f t="shared" si="5"/>
        <v>57.251908396946568</v>
      </c>
      <c r="AI11" s="24">
        <v>0.23799999999999999</v>
      </c>
      <c r="AJ11" s="25">
        <v>0.04</v>
      </c>
      <c r="AK11" s="25">
        <v>2</v>
      </c>
      <c r="AL11" s="36">
        <v>0.04</v>
      </c>
      <c r="AN11" s="31" t="s">
        <v>47</v>
      </c>
    </row>
    <row r="12" spans="1:40" x14ac:dyDescent="0.2">
      <c r="A12" s="1" t="s">
        <v>16</v>
      </c>
      <c r="B12" s="4" t="s">
        <v>10</v>
      </c>
      <c r="C12" s="12">
        <v>-4.22</v>
      </c>
      <c r="D12" s="1">
        <v>0.77</v>
      </c>
      <c r="E12" s="1">
        <v>7</v>
      </c>
      <c r="F12" s="31">
        <f t="shared" si="2"/>
        <v>1.6651425416624357</v>
      </c>
      <c r="G12" s="17">
        <v>3.13</v>
      </c>
      <c r="H12" s="7">
        <v>1.47</v>
      </c>
      <c r="I12" s="1">
        <v>4</v>
      </c>
      <c r="J12" s="19">
        <v>1.6</v>
      </c>
      <c r="K12" s="17">
        <v>3.41</v>
      </c>
      <c r="L12" s="7">
        <v>0.21</v>
      </c>
      <c r="M12" s="1">
        <v>32</v>
      </c>
      <c r="N12" s="13">
        <v>0.99</v>
      </c>
      <c r="O12" s="17">
        <v>0.91</v>
      </c>
      <c r="P12" s="1">
        <v>0.05</v>
      </c>
      <c r="Q12" s="1">
        <v>26</v>
      </c>
      <c r="R12" s="13">
        <v>0.23</v>
      </c>
      <c r="S12" s="17">
        <v>0.27</v>
      </c>
      <c r="T12" s="7">
        <v>0.06</v>
      </c>
      <c r="U12" s="1">
        <v>5</v>
      </c>
      <c r="V12" s="31">
        <f t="shared" si="3"/>
        <v>9.6644503000486714E-2</v>
      </c>
      <c r="W12" s="17">
        <v>-0.10199999999999999</v>
      </c>
      <c r="X12" s="7">
        <v>0.03</v>
      </c>
      <c r="Y12" s="1">
        <v>3</v>
      </c>
      <c r="Z12" s="31">
        <v>0.03</v>
      </c>
      <c r="AA12" s="12">
        <v>0.14000000000000001</v>
      </c>
      <c r="AB12" s="1">
        <v>0.02</v>
      </c>
      <c r="AC12" s="1">
        <v>3</v>
      </c>
      <c r="AD12" s="31">
        <f t="shared" si="1"/>
        <v>1.6102166885029849E-2</v>
      </c>
      <c r="AE12" s="49">
        <v>708.33333333333337</v>
      </c>
      <c r="AH12" s="1">
        <f t="shared" si="5"/>
        <v>70.833333333333343</v>
      </c>
      <c r="AI12" s="24">
        <v>0.31</v>
      </c>
      <c r="AJ12" s="25">
        <v>0.04</v>
      </c>
      <c r="AK12" s="25">
        <v>3</v>
      </c>
      <c r="AL12" s="36">
        <v>0.04</v>
      </c>
      <c r="AN12" s="31" t="s">
        <v>58</v>
      </c>
    </row>
    <row r="13" spans="1:40" x14ac:dyDescent="0.2">
      <c r="A13" s="1" t="s">
        <v>17</v>
      </c>
      <c r="B13" s="4" t="s">
        <v>10</v>
      </c>
      <c r="C13" s="12">
        <v>-4.21</v>
      </c>
      <c r="D13" s="43">
        <f>((TINV(0.05,E13)*(F13/2))/SQRT(E13))</f>
        <v>0.30543753794967177</v>
      </c>
      <c r="E13" s="1">
        <v>15</v>
      </c>
      <c r="F13" s="31">
        <v>1.1100000000000001</v>
      </c>
      <c r="G13" s="17"/>
      <c r="H13" s="7"/>
      <c r="J13" s="19"/>
      <c r="K13" s="17">
        <v>3.63</v>
      </c>
      <c r="L13" s="7">
        <v>0.74</v>
      </c>
      <c r="M13" s="1">
        <v>2</v>
      </c>
      <c r="N13" s="13">
        <v>0.74</v>
      </c>
      <c r="O13" s="17">
        <v>0.5</v>
      </c>
      <c r="P13" s="1">
        <v>0.11</v>
      </c>
      <c r="Q13" s="1">
        <v>6</v>
      </c>
      <c r="R13" s="13">
        <v>0.19</v>
      </c>
      <c r="S13" s="17">
        <v>0.26</v>
      </c>
      <c r="T13" s="7">
        <v>0.06</v>
      </c>
      <c r="U13" s="1">
        <v>2</v>
      </c>
      <c r="V13" s="31">
        <v>0.06</v>
      </c>
      <c r="W13" s="17"/>
      <c r="X13" s="7"/>
      <c r="Z13" s="19"/>
      <c r="AA13" s="12"/>
      <c r="AD13" s="19"/>
      <c r="AE13" s="49">
        <v>641.66666666666674</v>
      </c>
      <c r="AH13" s="1">
        <f t="shared" si="5"/>
        <v>64.166666666666671</v>
      </c>
      <c r="AI13" s="24"/>
      <c r="AJ13" s="25"/>
      <c r="AK13" s="25"/>
      <c r="AL13" s="26"/>
    </row>
    <row r="14" spans="1:40" x14ac:dyDescent="0.2">
      <c r="A14" s="1" t="s">
        <v>18</v>
      </c>
      <c r="B14" s="4" t="s">
        <v>10</v>
      </c>
      <c r="C14" s="12">
        <v>-2.2200000000000002</v>
      </c>
      <c r="D14" s="1">
        <v>0.67</v>
      </c>
      <c r="E14" s="1">
        <v>10</v>
      </c>
      <c r="F14" s="31">
        <f t="shared" si="2"/>
        <v>1.8731908349745496</v>
      </c>
      <c r="G14" s="17">
        <v>2.14</v>
      </c>
      <c r="H14" s="7">
        <v>0.16</v>
      </c>
      <c r="I14" s="1">
        <v>2</v>
      </c>
      <c r="J14" s="19">
        <v>0.16</v>
      </c>
      <c r="K14" s="17">
        <v>2.16</v>
      </c>
      <c r="L14" s="7">
        <v>0.36</v>
      </c>
      <c r="M14" s="1">
        <v>17</v>
      </c>
      <c r="N14" s="13">
        <v>1.05</v>
      </c>
      <c r="O14" s="17">
        <v>1.29</v>
      </c>
      <c r="P14" s="1">
        <v>0.06</v>
      </c>
      <c r="Q14" s="1">
        <v>16</v>
      </c>
      <c r="R14" s="13">
        <v>0.22</v>
      </c>
      <c r="S14" s="17">
        <v>0.33</v>
      </c>
      <c r="T14" s="7">
        <v>7.0000000000000007E-2</v>
      </c>
      <c r="U14" s="1">
        <v>5</v>
      </c>
      <c r="V14" s="31">
        <f t="shared" si="3"/>
        <v>0.11275192016723451</v>
      </c>
      <c r="W14" s="17">
        <v>-0.16200000000000001</v>
      </c>
      <c r="X14" s="7">
        <v>0.04</v>
      </c>
      <c r="Y14" s="1">
        <v>3</v>
      </c>
      <c r="Z14" s="31">
        <v>0.04</v>
      </c>
      <c r="AA14" s="12">
        <v>0.11</v>
      </c>
      <c r="AB14" s="1">
        <v>0.06</v>
      </c>
      <c r="AC14" s="1">
        <v>3</v>
      </c>
      <c r="AD14" s="31">
        <v>0.06</v>
      </c>
      <c r="AE14" s="49">
        <v>545.45454545454538</v>
      </c>
      <c r="AH14" s="1">
        <f t="shared" si="5"/>
        <v>54.54545454545454</v>
      </c>
      <c r="AI14" s="24"/>
      <c r="AJ14" s="25"/>
      <c r="AK14" s="25"/>
      <c r="AL14" s="26"/>
      <c r="AN14" s="41" t="s">
        <v>56</v>
      </c>
    </row>
    <row r="15" spans="1:40" x14ac:dyDescent="0.2">
      <c r="A15" s="1" t="s">
        <v>19</v>
      </c>
      <c r="B15" s="4" t="s">
        <v>10</v>
      </c>
      <c r="C15" s="12">
        <v>-1.45</v>
      </c>
      <c r="D15" s="1">
        <v>0.28000000000000003</v>
      </c>
      <c r="E15" s="1">
        <v>7</v>
      </c>
      <c r="F15" s="31">
        <f t="shared" si="2"/>
        <v>0.60550637878634017</v>
      </c>
      <c r="G15" s="17"/>
      <c r="H15" s="7"/>
      <c r="J15" s="19"/>
      <c r="K15" s="17">
        <v>2.12</v>
      </c>
      <c r="L15" s="7">
        <v>0.34</v>
      </c>
      <c r="M15" s="1">
        <v>2</v>
      </c>
      <c r="N15" s="13">
        <v>0.34</v>
      </c>
      <c r="O15" s="17">
        <v>1.45</v>
      </c>
      <c r="P15" s="1">
        <v>0.14000000000000001</v>
      </c>
      <c r="Q15" s="1">
        <v>2</v>
      </c>
      <c r="R15" s="13">
        <v>0.14000000000000001</v>
      </c>
      <c r="S15" s="44">
        <v>0.16</v>
      </c>
      <c r="T15" s="45">
        <v>7.0000000000000007E-2</v>
      </c>
      <c r="U15" s="18">
        <v>1</v>
      </c>
      <c r="V15" s="31">
        <v>7.0000000000000007E-2</v>
      </c>
      <c r="W15" s="44">
        <v>-0.16</v>
      </c>
      <c r="X15" s="45">
        <v>0.05</v>
      </c>
      <c r="Y15" s="18">
        <v>1</v>
      </c>
      <c r="Z15" s="31">
        <v>0.05</v>
      </c>
      <c r="AA15" s="12">
        <v>0.12</v>
      </c>
      <c r="AB15" s="1">
        <v>0.11</v>
      </c>
      <c r="AC15" s="1">
        <v>1</v>
      </c>
      <c r="AD15" s="31">
        <v>0.11</v>
      </c>
      <c r="AE15" s="49"/>
      <c r="AI15" s="24"/>
      <c r="AJ15" s="25"/>
      <c r="AK15" s="25"/>
      <c r="AL15" s="26"/>
    </row>
    <row r="16" spans="1:40" x14ac:dyDescent="0.2">
      <c r="A16" s="1" t="s">
        <v>20</v>
      </c>
      <c r="B16" s="4" t="s">
        <v>10</v>
      </c>
      <c r="C16" s="12">
        <v>-2.23</v>
      </c>
      <c r="D16" s="1">
        <v>0.49</v>
      </c>
      <c r="E16" s="1">
        <v>8</v>
      </c>
      <c r="F16" s="31">
        <f t="shared" si="2"/>
        <v>1.1722194680123799</v>
      </c>
      <c r="G16" s="17"/>
      <c r="H16" s="7"/>
      <c r="J16" s="19"/>
      <c r="K16" s="17">
        <v>1.66</v>
      </c>
      <c r="L16" s="7">
        <v>0.26</v>
      </c>
      <c r="M16" s="1">
        <v>5</v>
      </c>
      <c r="N16" s="13">
        <v>0.28999999999999998</v>
      </c>
      <c r="O16" s="17">
        <v>1.28</v>
      </c>
      <c r="P16" s="1">
        <v>0.25</v>
      </c>
      <c r="Q16" s="1">
        <v>6</v>
      </c>
      <c r="R16" s="13">
        <v>0.44</v>
      </c>
      <c r="S16" s="17"/>
      <c r="T16" s="7"/>
      <c r="V16" s="19"/>
      <c r="W16" s="17">
        <v>-0.19</v>
      </c>
      <c r="X16" s="7">
        <v>0.02</v>
      </c>
      <c r="Y16" s="1">
        <v>1</v>
      </c>
      <c r="Z16" s="31">
        <v>0.02</v>
      </c>
      <c r="AA16" s="12">
        <v>0.16</v>
      </c>
      <c r="AB16" s="1">
        <v>0.05</v>
      </c>
      <c r="AC16" s="1">
        <v>1</v>
      </c>
      <c r="AD16" s="31">
        <v>0.05</v>
      </c>
      <c r="AE16" s="49"/>
      <c r="AI16" s="24"/>
      <c r="AJ16" s="25"/>
      <c r="AK16" s="25"/>
      <c r="AL16" s="26"/>
    </row>
    <row r="17" spans="1:38" x14ac:dyDescent="0.2">
      <c r="A17" s="1" t="s">
        <v>21</v>
      </c>
      <c r="B17" s="4" t="s">
        <v>10</v>
      </c>
      <c r="C17" s="12">
        <v>-0.87</v>
      </c>
      <c r="D17" s="1">
        <v>0.38</v>
      </c>
      <c r="E17" s="1">
        <v>1</v>
      </c>
      <c r="F17" s="19">
        <v>0.38</v>
      </c>
      <c r="G17" s="17">
        <v>2.91</v>
      </c>
      <c r="H17" s="7">
        <v>0.05</v>
      </c>
      <c r="I17" s="1">
        <v>1</v>
      </c>
      <c r="J17" s="19">
        <v>0.05</v>
      </c>
      <c r="K17" s="17">
        <v>2.76</v>
      </c>
      <c r="L17" s="7">
        <v>0.26</v>
      </c>
      <c r="M17" s="1">
        <v>1</v>
      </c>
      <c r="N17" s="13">
        <v>0.26</v>
      </c>
      <c r="O17" s="17">
        <v>1.19</v>
      </c>
      <c r="P17" s="1">
        <v>0.15</v>
      </c>
      <c r="Q17" s="1">
        <v>1</v>
      </c>
      <c r="R17" s="13">
        <v>0.15</v>
      </c>
      <c r="S17" s="17">
        <v>0.16500000000000001</v>
      </c>
      <c r="T17" s="7">
        <v>7.0000000000000007E-2</v>
      </c>
      <c r="U17" s="1">
        <v>2</v>
      </c>
      <c r="V17" s="31">
        <v>7.0000000000000007E-2</v>
      </c>
      <c r="W17" s="17">
        <v>-0.11</v>
      </c>
      <c r="X17" s="7">
        <v>0.03</v>
      </c>
      <c r="Y17" s="1">
        <v>2</v>
      </c>
      <c r="Z17" s="31">
        <v>0.03</v>
      </c>
      <c r="AA17" s="12">
        <v>0.15</v>
      </c>
      <c r="AB17" s="1">
        <v>0.04</v>
      </c>
      <c r="AC17" s="1">
        <v>2</v>
      </c>
      <c r="AD17" s="31">
        <v>0.04</v>
      </c>
      <c r="AE17" s="49">
        <f>565/1.55</f>
        <v>364.51612903225805</v>
      </c>
      <c r="AH17" s="1">
        <f t="shared" ref="AH17" si="6">0.1*AE17</f>
        <v>36.451612903225808</v>
      </c>
      <c r="AI17" s="24"/>
      <c r="AJ17" s="25"/>
      <c r="AK17" s="25"/>
      <c r="AL17" s="26"/>
    </row>
    <row r="18" spans="1:38" x14ac:dyDescent="0.2">
      <c r="C18" s="12"/>
      <c r="F18" s="19"/>
      <c r="G18" s="17"/>
      <c r="H18" s="7"/>
      <c r="J18" s="19"/>
      <c r="K18" s="17"/>
      <c r="L18" s="7"/>
      <c r="N18" s="13"/>
      <c r="O18" s="17"/>
      <c r="R18" s="13"/>
      <c r="S18" s="17"/>
      <c r="T18" s="7"/>
      <c r="V18" s="19"/>
      <c r="W18" s="17"/>
      <c r="X18" s="7"/>
      <c r="Z18" s="19"/>
      <c r="AA18" s="12"/>
      <c r="AD18" s="19"/>
      <c r="AI18" s="24"/>
      <c r="AJ18" s="25"/>
      <c r="AK18" s="25"/>
      <c r="AL18" s="26"/>
    </row>
    <row r="19" spans="1:38" x14ac:dyDescent="0.2">
      <c r="C19" s="12"/>
      <c r="F19" s="19"/>
      <c r="G19" s="17"/>
      <c r="H19" s="7"/>
      <c r="J19" s="19"/>
      <c r="K19" s="17"/>
      <c r="L19" s="7"/>
      <c r="N19" s="13"/>
      <c r="O19" s="17"/>
      <c r="R19" s="13"/>
      <c r="S19" s="17"/>
      <c r="T19" s="7"/>
      <c r="V19" s="19"/>
      <c r="W19" s="17"/>
      <c r="X19" s="7"/>
      <c r="Z19" s="19"/>
      <c r="AA19" s="12"/>
      <c r="AD19" s="19"/>
      <c r="AI19" s="24"/>
      <c r="AJ19" s="25"/>
      <c r="AK19" s="25"/>
      <c r="AL19" s="26"/>
    </row>
    <row r="20" spans="1:38" x14ac:dyDescent="0.2">
      <c r="A20" s="1" t="s">
        <v>22</v>
      </c>
      <c r="B20" s="5" t="s">
        <v>24</v>
      </c>
      <c r="C20" s="12">
        <v>-0.06</v>
      </c>
      <c r="D20" s="7">
        <v>8.0000000000000002E-3</v>
      </c>
      <c r="E20" s="1">
        <v>22</v>
      </c>
      <c r="F20" s="31">
        <f t="shared" ref="F20:F21" si="7">((D20*SQRT(E20))/TINV(0.05,(E20-1)))*2</f>
        <v>3.6086820804466242E-2</v>
      </c>
      <c r="G20" s="17">
        <v>0</v>
      </c>
      <c r="H20" s="7">
        <v>0.03</v>
      </c>
      <c r="I20" s="1">
        <v>23</v>
      </c>
      <c r="J20" s="19">
        <v>0.73</v>
      </c>
      <c r="K20" s="17">
        <v>-0.03</v>
      </c>
      <c r="L20" s="7">
        <v>0.02</v>
      </c>
      <c r="M20" s="1">
        <v>49</v>
      </c>
      <c r="N20" s="13">
        <v>0.14000000000000001</v>
      </c>
      <c r="O20" s="17">
        <v>0.03</v>
      </c>
      <c r="P20" s="1">
        <v>0.03</v>
      </c>
      <c r="Q20" s="1">
        <v>31</v>
      </c>
      <c r="R20" s="13">
        <v>0.13</v>
      </c>
      <c r="S20" s="17">
        <v>-0.01</v>
      </c>
      <c r="T20" s="7">
        <v>0.02</v>
      </c>
      <c r="U20" s="1">
        <v>13</v>
      </c>
      <c r="V20" s="31">
        <f t="shared" ref="V20:V24" si="8">((T20*SQRT(U20))/TINV(0.05,(U20-1)))*2</f>
        <v>6.6192951067112399E-2</v>
      </c>
      <c r="W20" s="17">
        <v>-6.0000000000000001E-3</v>
      </c>
      <c r="X20" s="7">
        <v>7.0000000000000001E-3</v>
      </c>
      <c r="Y20" s="1">
        <v>5</v>
      </c>
      <c r="Z20" s="31">
        <f t="shared" ref="Z20:Z27" si="9">((X20*SQRT(Y20))/TINV(0.05,(Y20-1)))*2</f>
        <v>1.1275192016723449E-2</v>
      </c>
      <c r="AA20" s="12">
        <v>0.04</v>
      </c>
      <c r="AB20" s="1">
        <v>0.01</v>
      </c>
      <c r="AC20" s="1">
        <v>5</v>
      </c>
      <c r="AD20" s="31">
        <f t="shared" ref="AD20:AD27" si="10">((AB20*SQRT(AC20))/TINV(0.05,(AC20-1)))*2</f>
        <v>1.6107417166747785E-2</v>
      </c>
      <c r="AI20" s="28">
        <v>-0.04</v>
      </c>
      <c r="AJ20" s="25">
        <v>0.02</v>
      </c>
      <c r="AK20" s="25">
        <v>7</v>
      </c>
      <c r="AL20" s="36">
        <f t="shared" ref="AL20:AL24" si="11">((AJ20*SQRT(AK20))/TINV(0.05,(AK20-1)))*2</f>
        <v>4.3250455627595726E-2</v>
      </c>
    </row>
    <row r="21" spans="1:38" x14ac:dyDescent="0.2">
      <c r="A21" s="1" t="s">
        <v>23</v>
      </c>
      <c r="B21" s="5" t="s">
        <v>24</v>
      </c>
      <c r="C21" s="12">
        <v>0.32100000000000001</v>
      </c>
      <c r="D21" s="7">
        <v>2.5999999999999999E-2</v>
      </c>
      <c r="E21" s="1">
        <v>11</v>
      </c>
      <c r="F21" s="31">
        <f t="shared" si="7"/>
        <v>7.740293606241698E-2</v>
      </c>
      <c r="G21" s="17">
        <v>-0.17</v>
      </c>
      <c r="H21" s="7">
        <v>0.11</v>
      </c>
      <c r="I21" s="1">
        <v>10</v>
      </c>
      <c r="J21" s="19">
        <v>0.28000000000000003</v>
      </c>
      <c r="K21" s="17">
        <v>-0.45</v>
      </c>
      <c r="L21" s="7">
        <v>0.05</v>
      </c>
      <c r="M21" s="1">
        <v>24</v>
      </c>
      <c r="N21" s="13">
        <v>0.28000000000000003</v>
      </c>
      <c r="O21" s="17">
        <v>-0.15</v>
      </c>
      <c r="P21" s="1">
        <v>0.04</v>
      </c>
      <c r="Q21" s="1">
        <v>29</v>
      </c>
      <c r="R21" s="19">
        <v>0.2</v>
      </c>
      <c r="S21" s="17">
        <v>7.0000000000000007E-2</v>
      </c>
      <c r="T21" s="7">
        <v>0.02</v>
      </c>
      <c r="U21" s="1">
        <v>4</v>
      </c>
      <c r="V21" s="31">
        <f t="shared" si="8"/>
        <v>2.5137894665238712E-2</v>
      </c>
      <c r="W21" s="17">
        <v>-0.01</v>
      </c>
      <c r="X21" s="7">
        <v>0.02</v>
      </c>
      <c r="Y21" s="1">
        <v>5</v>
      </c>
      <c r="Z21" s="31">
        <f t="shared" si="9"/>
        <v>3.2214834333495569E-2</v>
      </c>
      <c r="AA21" s="12">
        <v>0.04</v>
      </c>
      <c r="AB21" s="1">
        <v>0.05</v>
      </c>
      <c r="AC21" s="1">
        <v>5</v>
      </c>
      <c r="AD21" s="31">
        <f t="shared" si="10"/>
        <v>8.0537085833738933E-2</v>
      </c>
      <c r="AI21" s="24">
        <v>-0.22</v>
      </c>
      <c r="AJ21" s="25">
        <v>0.01</v>
      </c>
      <c r="AK21" s="25">
        <v>5</v>
      </c>
      <c r="AL21" s="36">
        <f t="shared" si="11"/>
        <v>1.6107417166747785E-2</v>
      </c>
    </row>
    <row r="22" spans="1:38" x14ac:dyDescent="0.2">
      <c r="A22" s="1" t="s">
        <v>30</v>
      </c>
      <c r="B22" s="5" t="s">
        <v>24</v>
      </c>
      <c r="C22" s="12">
        <v>0.9</v>
      </c>
      <c r="D22" s="43">
        <f>((TINV(0.05,E22)*(F22/2))/SQRT(E22))</f>
        <v>2.6513482535118132E-2</v>
      </c>
      <c r="E22" s="1">
        <v>221</v>
      </c>
      <c r="F22" s="31">
        <v>0.4</v>
      </c>
      <c r="G22" s="17">
        <v>-0.24</v>
      </c>
      <c r="H22" s="7">
        <v>0.27</v>
      </c>
      <c r="I22" s="1">
        <v>13</v>
      </c>
      <c r="J22" s="19">
        <v>0.96</v>
      </c>
      <c r="K22" s="17">
        <v>-0.59</v>
      </c>
      <c r="L22" s="7">
        <v>0.04</v>
      </c>
      <c r="M22" s="1">
        <v>28</v>
      </c>
      <c r="N22" s="13">
        <v>0.22</v>
      </c>
      <c r="O22" s="17">
        <v>-0.38</v>
      </c>
      <c r="P22" s="1">
        <v>0.02</v>
      </c>
      <c r="Q22" s="1">
        <v>34</v>
      </c>
      <c r="R22" s="13">
        <v>0.13</v>
      </c>
      <c r="S22" s="17">
        <v>0.105</v>
      </c>
      <c r="T22" s="7">
        <v>2.5999999999999999E-2</v>
      </c>
      <c r="U22" s="1">
        <v>9</v>
      </c>
      <c r="V22" s="31">
        <f t="shared" si="8"/>
        <v>6.7649488402234892E-2</v>
      </c>
      <c r="W22" s="17">
        <v>-0.05</v>
      </c>
      <c r="X22" s="7">
        <v>0.01</v>
      </c>
      <c r="Y22" s="1">
        <v>7</v>
      </c>
      <c r="Z22" s="31">
        <f t="shared" si="9"/>
        <v>2.1625227813797863E-2</v>
      </c>
      <c r="AA22" s="12">
        <v>-0.06</v>
      </c>
      <c r="AB22" s="1">
        <v>0.01</v>
      </c>
      <c r="AC22" s="1">
        <v>7</v>
      </c>
      <c r="AD22" s="31">
        <f t="shared" si="10"/>
        <v>2.1625227813797863E-2</v>
      </c>
      <c r="AI22" s="24">
        <v>-0.25</v>
      </c>
      <c r="AJ22" s="25">
        <v>0.05</v>
      </c>
      <c r="AK22" s="25">
        <v>8</v>
      </c>
      <c r="AL22" s="36">
        <f t="shared" si="11"/>
        <v>0.11961423142983471</v>
      </c>
    </row>
    <row r="23" spans="1:38" x14ac:dyDescent="0.2">
      <c r="A23" s="1" t="s">
        <v>25</v>
      </c>
      <c r="B23" s="5" t="s">
        <v>24</v>
      </c>
      <c r="C23" s="12">
        <v>2.66</v>
      </c>
      <c r="D23" s="43">
        <f t="shared" ref="D23:D27" si="12">((TINV(0.05,E23)*(F23/2))/SQRT(E23))</f>
        <v>0.12217454362394276</v>
      </c>
      <c r="E23" s="1">
        <v>24</v>
      </c>
      <c r="F23" s="31">
        <v>0.57999999999999996</v>
      </c>
      <c r="G23" s="7">
        <v>0.08</v>
      </c>
      <c r="H23" s="7">
        <v>0.04</v>
      </c>
      <c r="I23" s="1">
        <v>1</v>
      </c>
      <c r="J23" s="19">
        <v>0.04</v>
      </c>
      <c r="K23" s="17">
        <v>-0.44</v>
      </c>
      <c r="L23" s="7">
        <v>0.08</v>
      </c>
      <c r="M23" s="1">
        <v>2</v>
      </c>
      <c r="N23" s="13">
        <v>0.08</v>
      </c>
      <c r="O23" s="17">
        <v>-0.06</v>
      </c>
      <c r="P23" s="1">
        <v>0.02</v>
      </c>
      <c r="Q23" s="1">
        <v>14</v>
      </c>
      <c r="R23" s="13">
        <v>0.26</v>
      </c>
      <c r="S23" s="17">
        <v>6.4000000000000001E-2</v>
      </c>
      <c r="T23" s="7">
        <v>0.01</v>
      </c>
      <c r="U23" s="1">
        <v>1</v>
      </c>
      <c r="V23" s="31">
        <v>0.01</v>
      </c>
      <c r="W23" s="17">
        <v>-7.0000000000000007E-2</v>
      </c>
      <c r="X23" s="7">
        <v>0.02</v>
      </c>
      <c r="Y23" s="1">
        <v>1</v>
      </c>
      <c r="Z23" s="31">
        <v>0.02</v>
      </c>
      <c r="AA23" s="12">
        <v>-0.05</v>
      </c>
      <c r="AB23" s="1">
        <v>0.03</v>
      </c>
      <c r="AC23" s="1">
        <v>1</v>
      </c>
      <c r="AD23" s="31">
        <v>0.03</v>
      </c>
      <c r="AI23" s="24"/>
      <c r="AJ23" s="25"/>
      <c r="AK23" s="25"/>
      <c r="AL23" s="26"/>
    </row>
    <row r="24" spans="1:38" x14ac:dyDescent="0.2">
      <c r="A24" s="1" t="s">
        <v>31</v>
      </c>
      <c r="B24" s="5" t="s">
        <v>24</v>
      </c>
      <c r="C24" s="12">
        <v>0.01</v>
      </c>
      <c r="D24" s="43">
        <f t="shared" si="12"/>
        <v>2.1052834578346964E-2</v>
      </c>
      <c r="E24" s="1">
        <v>39</v>
      </c>
      <c r="F24" s="31">
        <v>0.13</v>
      </c>
      <c r="G24" s="17">
        <v>-0.11</v>
      </c>
      <c r="H24" s="7">
        <v>0.26</v>
      </c>
      <c r="I24" s="1">
        <v>4</v>
      </c>
      <c r="J24" s="19">
        <v>0.53</v>
      </c>
      <c r="K24" s="17">
        <v>-0.16</v>
      </c>
      <c r="L24" s="7">
        <v>0.06</v>
      </c>
      <c r="M24" s="1">
        <v>16</v>
      </c>
      <c r="N24" s="1">
        <v>0.22</v>
      </c>
      <c r="O24" s="17">
        <v>0.02</v>
      </c>
      <c r="P24" s="1">
        <v>0.03</v>
      </c>
      <c r="Q24" s="1">
        <v>17</v>
      </c>
      <c r="R24" s="13">
        <v>0.12</v>
      </c>
      <c r="S24" s="17">
        <v>0.06</v>
      </c>
      <c r="T24" s="7">
        <v>8.0000000000000002E-3</v>
      </c>
      <c r="U24" s="1">
        <v>4</v>
      </c>
      <c r="V24" s="31">
        <f t="shared" si="8"/>
        <v>1.0055157866095486E-2</v>
      </c>
      <c r="W24" s="17">
        <v>-0.02</v>
      </c>
      <c r="X24" s="7">
        <v>0.01</v>
      </c>
      <c r="Y24" s="1">
        <v>3</v>
      </c>
      <c r="Z24" s="31">
        <v>0.01</v>
      </c>
      <c r="AA24" s="12">
        <v>0</v>
      </c>
      <c r="AB24" s="1">
        <v>0.06</v>
      </c>
      <c r="AC24" s="1">
        <v>5</v>
      </c>
      <c r="AD24" s="31">
        <f t="shared" si="10"/>
        <v>9.6644503000486714E-2</v>
      </c>
      <c r="AI24" s="24">
        <v>-0.17</v>
      </c>
      <c r="AJ24" s="25">
        <v>0.02</v>
      </c>
      <c r="AK24" s="25">
        <v>5</v>
      </c>
      <c r="AL24" s="36">
        <f t="shared" si="11"/>
        <v>3.2214834333495569E-2</v>
      </c>
    </row>
    <row r="25" spans="1:38" x14ac:dyDescent="0.2">
      <c r="A25" s="1" t="s">
        <v>26</v>
      </c>
      <c r="B25" s="5" t="s">
        <v>24</v>
      </c>
      <c r="C25" s="12">
        <v>-7.1999999999999995E-2</v>
      </c>
      <c r="D25" s="43">
        <f t="shared" si="12"/>
        <v>5.7479957262089919E-3</v>
      </c>
      <c r="E25" s="1">
        <v>5</v>
      </c>
      <c r="F25" s="31">
        <v>0.01</v>
      </c>
      <c r="G25" s="17">
        <v>-1.06</v>
      </c>
      <c r="H25" s="7">
        <v>0.33</v>
      </c>
      <c r="I25" s="1">
        <v>4</v>
      </c>
      <c r="J25" s="19">
        <v>0.36</v>
      </c>
      <c r="K25" s="17">
        <v>-1.1599999999999999</v>
      </c>
      <c r="L25" s="7">
        <v>0.04</v>
      </c>
      <c r="M25" s="1">
        <v>15</v>
      </c>
      <c r="N25" s="13">
        <v>0.26</v>
      </c>
      <c r="O25" s="17">
        <v>-0.43</v>
      </c>
      <c r="P25" s="1">
        <v>0.06</v>
      </c>
      <c r="Q25" s="1">
        <v>11</v>
      </c>
      <c r="R25" s="13">
        <v>0.16</v>
      </c>
      <c r="S25" s="17"/>
      <c r="T25" s="7"/>
      <c r="V25" s="19"/>
      <c r="W25" s="17">
        <v>-0.02</v>
      </c>
      <c r="X25" s="7">
        <v>0.11</v>
      </c>
      <c r="Y25" s="1">
        <v>15</v>
      </c>
      <c r="Z25" s="31">
        <v>0.11</v>
      </c>
      <c r="AA25" s="12">
        <v>0.02</v>
      </c>
      <c r="AB25" s="1">
        <v>0.04</v>
      </c>
      <c r="AC25" s="1">
        <v>15</v>
      </c>
      <c r="AD25" s="31">
        <f t="shared" si="10"/>
        <v>0.14446129745303019</v>
      </c>
      <c r="AI25" s="24"/>
      <c r="AJ25" s="25"/>
      <c r="AK25" s="25"/>
      <c r="AL25" s="26"/>
    </row>
    <row r="26" spans="1:38" x14ac:dyDescent="0.2">
      <c r="A26" s="1" t="s">
        <v>27</v>
      </c>
      <c r="B26" s="5" t="s">
        <v>24</v>
      </c>
      <c r="C26" s="12">
        <v>8.9999999999999993E-3</v>
      </c>
      <c r="D26" s="43">
        <f t="shared" si="12"/>
        <v>3.5229968576947074E-3</v>
      </c>
      <c r="E26" s="1">
        <v>10</v>
      </c>
      <c r="F26" s="31">
        <v>0.01</v>
      </c>
      <c r="G26" s="17">
        <v>-0.44</v>
      </c>
      <c r="H26" s="7">
        <v>0.59</v>
      </c>
      <c r="I26" s="1">
        <v>1</v>
      </c>
      <c r="J26" s="19">
        <v>0.59</v>
      </c>
      <c r="K26" s="17">
        <v>-0.06</v>
      </c>
      <c r="L26" s="7">
        <v>0.11</v>
      </c>
      <c r="M26" s="1">
        <v>4</v>
      </c>
      <c r="N26" s="13">
        <v>0.12</v>
      </c>
      <c r="O26" s="17">
        <v>0.02</v>
      </c>
      <c r="P26" s="1">
        <v>7.0000000000000007E-2</v>
      </c>
      <c r="Q26" s="1">
        <v>10</v>
      </c>
      <c r="R26" s="13">
        <v>0.19</v>
      </c>
      <c r="S26" s="17"/>
      <c r="T26" s="7"/>
      <c r="V26" s="19"/>
      <c r="W26" s="17">
        <v>0.08</v>
      </c>
      <c r="X26" s="7">
        <v>0.08</v>
      </c>
      <c r="Y26" s="1">
        <v>1</v>
      </c>
      <c r="Z26" s="31">
        <v>0.08</v>
      </c>
      <c r="AA26" s="12">
        <v>0.05</v>
      </c>
      <c r="AB26" s="1">
        <v>0.19</v>
      </c>
      <c r="AC26" s="1">
        <v>1</v>
      </c>
      <c r="AD26" s="31">
        <v>0.19</v>
      </c>
      <c r="AI26" s="24"/>
      <c r="AJ26" s="25"/>
      <c r="AK26" s="25"/>
      <c r="AL26" s="26"/>
    </row>
    <row r="27" spans="1:38" x14ac:dyDescent="0.2">
      <c r="A27" s="1" t="s">
        <v>28</v>
      </c>
      <c r="B27" s="5" t="s">
        <v>24</v>
      </c>
      <c r="C27" s="12">
        <v>-0.24</v>
      </c>
      <c r="D27" s="43">
        <f t="shared" si="12"/>
        <v>1.9350295703400514E-3</v>
      </c>
      <c r="E27" s="1">
        <v>105</v>
      </c>
      <c r="F27" s="31">
        <v>0.02</v>
      </c>
      <c r="G27" s="17">
        <v>-1.24</v>
      </c>
      <c r="H27" s="7">
        <v>0.4</v>
      </c>
      <c r="I27" s="1">
        <v>11</v>
      </c>
      <c r="J27" s="19">
        <v>1.1299999999999999</v>
      </c>
      <c r="K27" s="17">
        <v>-1.25</v>
      </c>
      <c r="L27" s="7">
        <v>0.02</v>
      </c>
      <c r="M27" s="1">
        <v>24</v>
      </c>
      <c r="N27" s="13">
        <v>0.14000000000000001</v>
      </c>
      <c r="O27" s="17">
        <v>-0.66</v>
      </c>
      <c r="P27" s="1">
        <v>7.0000000000000007E-2</v>
      </c>
      <c r="Q27" s="1">
        <v>14</v>
      </c>
      <c r="R27" s="13">
        <v>0.25</v>
      </c>
      <c r="S27" s="17">
        <v>0.11700000000000001</v>
      </c>
      <c r="T27" s="7">
        <v>2.4E-2</v>
      </c>
      <c r="U27" s="1">
        <v>5</v>
      </c>
      <c r="V27" s="31">
        <f t="shared" ref="V27:V28" si="13">((T27*SQRT(U27))/TINV(0.05,(U27-1)))*2</f>
        <v>3.8657801200194686E-2</v>
      </c>
      <c r="W27" s="17">
        <v>-0.1</v>
      </c>
      <c r="X27" s="7">
        <v>0.13</v>
      </c>
      <c r="Y27" s="1">
        <v>9</v>
      </c>
      <c r="Z27" s="31">
        <f t="shared" si="9"/>
        <v>0.33824744201117446</v>
      </c>
      <c r="AA27" s="12">
        <v>7.0000000000000007E-2</v>
      </c>
      <c r="AB27" s="1">
        <v>0.06</v>
      </c>
      <c r="AC27" s="1">
        <v>9</v>
      </c>
      <c r="AD27" s="31">
        <f t="shared" si="10"/>
        <v>0.15611420400515744</v>
      </c>
      <c r="AI27" s="24"/>
      <c r="AJ27" s="25"/>
      <c r="AK27" s="25"/>
      <c r="AL27" s="26"/>
    </row>
    <row r="28" spans="1:38" x14ac:dyDescent="0.2">
      <c r="A28" s="1" t="s">
        <v>29</v>
      </c>
      <c r="B28" s="5" t="s">
        <v>24</v>
      </c>
      <c r="C28" s="14">
        <v>-0.96</v>
      </c>
      <c r="D28" s="42">
        <f t="shared" ref="D28" si="14">((TINV(0.05,E28)*(F28/2))/SQRT(E28))</f>
        <v>0.15569838362104452</v>
      </c>
      <c r="E28" s="15">
        <v>42</v>
      </c>
      <c r="F28" s="32">
        <v>1</v>
      </c>
      <c r="G28" s="33">
        <v>-2</v>
      </c>
      <c r="H28" s="35">
        <v>0.35</v>
      </c>
      <c r="I28" s="15">
        <v>9</v>
      </c>
      <c r="J28" s="20">
        <v>0.86</v>
      </c>
      <c r="K28" s="33">
        <v>-1.9</v>
      </c>
      <c r="L28" s="35">
        <v>0.42</v>
      </c>
      <c r="M28" s="15">
        <v>5</v>
      </c>
      <c r="N28" s="16">
        <v>0.42</v>
      </c>
      <c r="O28" s="33">
        <v>-0.89</v>
      </c>
      <c r="P28" s="15">
        <v>0.04</v>
      </c>
      <c r="Q28" s="15">
        <v>24</v>
      </c>
      <c r="R28" s="20">
        <v>0.2</v>
      </c>
      <c r="S28" s="33">
        <v>0.13900000000000001</v>
      </c>
      <c r="T28" s="35">
        <v>2.8000000000000001E-2</v>
      </c>
      <c r="U28" s="15">
        <v>8</v>
      </c>
      <c r="V28" s="32">
        <f t="shared" si="13"/>
        <v>6.6983969600707433E-2</v>
      </c>
      <c r="W28" s="33">
        <v>0.03</v>
      </c>
      <c r="X28" s="35">
        <v>0.12</v>
      </c>
      <c r="Y28" s="15">
        <v>2</v>
      </c>
      <c r="Z28" s="32">
        <v>0.12</v>
      </c>
      <c r="AA28" s="14">
        <v>-0.1</v>
      </c>
      <c r="AB28" s="15">
        <v>0.16</v>
      </c>
      <c r="AC28" s="15">
        <v>1</v>
      </c>
      <c r="AD28" s="32">
        <v>0.16</v>
      </c>
      <c r="AE28" s="33"/>
      <c r="AF28" s="35"/>
      <c r="AG28" s="15"/>
      <c r="AH28" s="16"/>
      <c r="AI28" s="29">
        <v>-0.33</v>
      </c>
      <c r="AJ28" s="30">
        <v>0.02</v>
      </c>
      <c r="AK28" s="30">
        <v>5</v>
      </c>
      <c r="AL28" s="37">
        <f t="shared" ref="AL28" si="15">((AJ28*SQRT(AK28))/TINV(0.05,(AK28-1)))*2</f>
        <v>3.2214834333495569E-2</v>
      </c>
    </row>
    <row r="30" spans="1:38" x14ac:dyDescent="0.2">
      <c r="A30" s="2" t="s">
        <v>45</v>
      </c>
    </row>
    <row r="31" spans="1:38" x14ac:dyDescent="0.2">
      <c r="A31" s="1" t="s">
        <v>37</v>
      </c>
      <c r="D31" s="46"/>
      <c r="H31" s="46"/>
      <c r="L31" s="46"/>
      <c r="P31" s="46"/>
      <c r="T31" s="46"/>
      <c r="AB31" s="46"/>
      <c r="AJ31" s="46"/>
    </row>
    <row r="32" spans="1:38" x14ac:dyDescent="0.2">
      <c r="A32" s="1" t="s">
        <v>38</v>
      </c>
      <c r="D32" s="46"/>
      <c r="H32" s="46"/>
      <c r="L32" s="46"/>
      <c r="P32" s="46"/>
      <c r="T32" s="46"/>
      <c r="AB32" s="46"/>
      <c r="AJ32" s="46"/>
    </row>
    <row r="33" spans="1:36" x14ac:dyDescent="0.2">
      <c r="A33" s="1" t="s">
        <v>39</v>
      </c>
      <c r="D33" s="46"/>
      <c r="H33" s="46"/>
      <c r="L33" s="46"/>
      <c r="P33" s="46"/>
      <c r="T33" s="46"/>
      <c r="AB33" s="46"/>
      <c r="AJ33" s="46"/>
    </row>
    <row r="34" spans="1:36" x14ac:dyDescent="0.2">
      <c r="A34" s="1" t="s">
        <v>40</v>
      </c>
      <c r="D34" s="46"/>
      <c r="H34" s="46"/>
      <c r="L34" s="46"/>
      <c r="P34" s="46"/>
      <c r="T34" s="46"/>
      <c r="AB34" s="46"/>
      <c r="AJ34" s="46"/>
    </row>
    <row r="35" spans="1:36" x14ac:dyDescent="0.2">
      <c r="A35" s="1" t="s">
        <v>41</v>
      </c>
      <c r="D35" s="46"/>
      <c r="H35" s="46"/>
      <c r="L35" s="46"/>
      <c r="P35" s="46"/>
      <c r="T35" s="46"/>
      <c r="AB35" s="46"/>
      <c r="AJ35" s="46"/>
    </row>
    <row r="36" spans="1:36" x14ac:dyDescent="0.2">
      <c r="A36" s="1" t="s">
        <v>42</v>
      </c>
      <c r="D36" s="46"/>
      <c r="H36" s="46"/>
      <c r="L36" s="46"/>
      <c r="P36" s="46"/>
      <c r="T36" s="46"/>
      <c r="AB36" s="46"/>
      <c r="AJ36" s="46"/>
    </row>
    <row r="37" spans="1:36" x14ac:dyDescent="0.2">
      <c r="A37" s="1" t="s">
        <v>43</v>
      </c>
      <c r="D37" s="46"/>
      <c r="H37" s="46"/>
      <c r="L37" s="46"/>
      <c r="P37" s="46"/>
      <c r="T37" s="46"/>
      <c r="AB37" s="46"/>
      <c r="AJ37" s="46"/>
    </row>
    <row r="38" spans="1:36" x14ac:dyDescent="0.2">
      <c r="A38" s="18" t="s">
        <v>46</v>
      </c>
      <c r="D38" s="46"/>
      <c r="H38" s="46"/>
      <c r="L38" s="46"/>
      <c r="P38" s="46"/>
      <c r="T38" s="46"/>
      <c r="AB38" s="46"/>
      <c r="AI38" s="6"/>
      <c r="AJ38" s="46"/>
    </row>
    <row r="39" spans="1:36" x14ac:dyDescent="0.2">
      <c r="A39" s="1" t="s">
        <v>50</v>
      </c>
      <c r="D39" s="46"/>
      <c r="H39" s="46"/>
      <c r="L39" s="46"/>
      <c r="P39" s="46"/>
      <c r="T39" s="46"/>
      <c r="AB39" s="46"/>
      <c r="AJ39" s="46"/>
    </row>
    <row r="40" spans="1:36" x14ac:dyDescent="0.2">
      <c r="A40" s="1" t="s">
        <v>51</v>
      </c>
      <c r="D40" s="46"/>
      <c r="H40" s="46"/>
      <c r="L40" s="46"/>
      <c r="P40" s="46"/>
      <c r="T40" s="46"/>
      <c r="AB40" s="46"/>
      <c r="AJ40" s="46"/>
    </row>
    <row r="41" spans="1:36" x14ac:dyDescent="0.2">
      <c r="A41" s="1" t="s">
        <v>53</v>
      </c>
      <c r="D41" s="46"/>
      <c r="H41" s="46"/>
      <c r="L41" s="46"/>
      <c r="P41" s="46"/>
      <c r="T41" s="46"/>
      <c r="AB41" s="46"/>
      <c r="AJ41" s="46"/>
    </row>
    <row r="42" spans="1:36" x14ac:dyDescent="0.2">
      <c r="A42" s="1" t="s">
        <v>55</v>
      </c>
      <c r="D42" s="46"/>
      <c r="H42" s="46"/>
      <c r="L42" s="46"/>
      <c r="P42" s="46"/>
      <c r="T42" s="46"/>
      <c r="AB42" s="46"/>
      <c r="AJ42" s="46"/>
    </row>
    <row r="43" spans="1:36" x14ac:dyDescent="0.2">
      <c r="A43" s="1" t="s">
        <v>57</v>
      </c>
      <c r="D43" s="46"/>
      <c r="H43" s="46"/>
      <c r="L43" s="46"/>
      <c r="P43" s="46"/>
      <c r="T43" s="46"/>
      <c r="AB43" s="46"/>
      <c r="AJ43" s="46"/>
    </row>
    <row r="44" spans="1:36" x14ac:dyDescent="0.2">
      <c r="A44" s="1" t="s">
        <v>61</v>
      </c>
      <c r="D44" s="46"/>
      <c r="H44" s="46"/>
      <c r="L44" s="46"/>
      <c r="P44" s="46"/>
      <c r="T44" s="46"/>
      <c r="AB44" s="46"/>
      <c r="AJ44" s="46"/>
    </row>
    <row r="45" spans="1:36" x14ac:dyDescent="0.2">
      <c r="A45" s="1" t="s">
        <v>62</v>
      </c>
      <c r="D45" s="46"/>
      <c r="H45" s="46"/>
      <c r="L45" s="46"/>
      <c r="P45" s="46"/>
      <c r="T45" s="46"/>
      <c r="AB45" s="46"/>
      <c r="AJ45" s="46"/>
    </row>
    <row r="46" spans="1:36" x14ac:dyDescent="0.2">
      <c r="D46" s="46"/>
      <c r="H46" s="46"/>
      <c r="L46" s="46"/>
      <c r="P46" s="46"/>
      <c r="T46" s="46"/>
      <c r="AB46" s="46"/>
      <c r="AJ46" s="46"/>
    </row>
    <row r="47" spans="1:36" x14ac:dyDescent="0.2">
      <c r="D47" s="46"/>
      <c r="H47" s="46"/>
      <c r="L47" s="46"/>
      <c r="P47" s="46"/>
      <c r="T47" s="46"/>
      <c r="AB47" s="46"/>
      <c r="AJ47" s="46"/>
    </row>
    <row r="48" spans="1:36" x14ac:dyDescent="0.2">
      <c r="D48" s="46"/>
      <c r="H48" s="46"/>
      <c r="L48" s="46"/>
      <c r="P48" s="46"/>
      <c r="T48" s="46"/>
      <c r="AB48" s="46"/>
      <c r="AJ48" s="46"/>
    </row>
    <row r="49" spans="4:36" x14ac:dyDescent="0.2">
      <c r="D49" s="46"/>
      <c r="H49" s="46"/>
      <c r="L49" s="46"/>
      <c r="P49" s="46"/>
      <c r="T49" s="46"/>
      <c r="AB49" s="46"/>
      <c r="AJ49" s="46"/>
    </row>
    <row r="50" spans="4:36" x14ac:dyDescent="0.2">
      <c r="D50" s="46"/>
      <c r="H50" s="46"/>
      <c r="L50" s="46"/>
      <c r="P50" s="46"/>
      <c r="T50" s="46"/>
      <c r="AB50" s="46"/>
      <c r="AJ50" s="46"/>
    </row>
    <row r="51" spans="4:36" x14ac:dyDescent="0.2">
      <c r="D51" s="46"/>
      <c r="H51" s="46"/>
      <c r="L51" s="46"/>
      <c r="P51" s="46"/>
      <c r="T51" s="46"/>
      <c r="AB51" s="46"/>
      <c r="AJ51" s="46"/>
    </row>
  </sheetData>
  <mergeCells count="2">
    <mergeCell ref="AI1:AL1"/>
    <mergeCell ref="W1:Z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Brennecka, Greg</dc:creator>
  <cp:lastModifiedBy>Gunawardena, Nipun</cp:lastModifiedBy>
  <dcterms:created xsi:type="dcterms:W3CDTF">2024-05-21T20:56:32Z</dcterms:created>
  <dcterms:modified xsi:type="dcterms:W3CDTF">2025-03-14T21:06:18Z</dcterms:modified>
</cp:coreProperties>
</file>